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Per 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;(0.0%);&quot;-&quot;"/>
  </numFmts>
  <fonts count="14">
    <font>
      <name val="Calibri"/>
      <family val="2"/>
      <color theme="1"/>
      <sz val="11"/>
      <scheme val="minor"/>
    </font>
    <font>
      <name val="Arial"/>
      <b val="1"/>
      <color rgb="002E7D32"/>
      <sz val="22"/>
    </font>
    <font>
      <name val="Arial"/>
      <b val="1"/>
      <color rgb="00000000"/>
      <sz val="15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b val="1"/>
      <color rgb="001B4620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1B4620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3EA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F6C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/>
    </xf>
    <xf numFmtId="164" fontId="7" fillId="4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center"/>
    </xf>
    <xf numFmtId="164" fontId="9" fillId="6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general" vertical="center"/>
    </xf>
    <xf numFmtId="164" fontId="8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general" vertical="center"/>
    </xf>
    <xf numFmtId="0" fontId="1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TallyWise</author>
  </authors>
  <commentList>
    <comment ref="A9" authorId="0" shapeId="0">
      <text>
        <t>Sample jobs - delete rows 9-11 and enter your own. Notice: the small deck out-earned the big kitchen, and the 'rush' bath actually LOST money.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2" customWidth="1" min="5" max="5"/>
    <col width="13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5" customWidth="1" min="12" max="12"/>
  </cols>
  <sheetData>
    <row r="1">
      <c r="A1" s="1" t="inlineStr">
        <is>
          <t>TallyWise</t>
        </is>
      </c>
    </row>
    <row r="2">
      <c r="A2" s="2" t="inlineStr">
        <is>
          <t>Profit Per Job Tracker</t>
        </is>
      </c>
    </row>
    <row r="3" ht="28" customHeight="1">
      <c r="A3" s="3" t="inlineStr">
        <is>
          <t>Type each job into the shaded cells (name + the dollars). Revenue, profit &amp; margin calculate for you. Watch the Status column — red means that job lost money.</t>
        </is>
      </c>
    </row>
    <row r="5">
      <c r="A5" s="4" t="inlineStr">
        <is>
          <t>TOTAL PROFIT</t>
        </is>
      </c>
      <c r="B5" s="5" t="n"/>
      <c r="C5" s="4" t="inlineStr">
        <is>
          <t>OVERALL MARGIN</t>
        </is>
      </c>
      <c r="D5" s="5" t="n"/>
      <c r="E5" s="4" t="inlineStr">
        <is>
          <t>JOBS LOSING $</t>
        </is>
      </c>
      <c r="F5" s="5" t="n"/>
    </row>
    <row r="6" ht="24" customHeight="1">
      <c r="A6" s="6">
        <f>SUM(J9:J30)</f>
        <v/>
      </c>
      <c r="B6" s="5" t="n"/>
      <c r="C6" s="7">
        <f>IF(SUM(H9:H30)=0,"",SUM(J9:J30)/SUM(H9:H30))</f>
        <v/>
      </c>
      <c r="D6" s="5" t="n"/>
      <c r="E6" s="8">
        <f>COUNTIFS(H9:H30,"&gt;0",J9:J30,"&lt;0")</f>
        <v/>
      </c>
      <c r="F6" s="5" t="n"/>
    </row>
    <row r="8" ht="30" customHeight="1">
      <c r="A8" s="9" t="inlineStr">
        <is>
          <t>Job / Client</t>
        </is>
      </c>
      <c r="B8" s="9" t="inlineStr">
        <is>
          <t>Contract $</t>
        </is>
      </c>
      <c r="C8" s="9" t="inlineStr">
        <is>
          <t>Change
Orders $</t>
        </is>
      </c>
      <c r="D8" s="9" t="inlineStr">
        <is>
          <t>Labor $</t>
        </is>
      </c>
      <c r="E8" s="9" t="inlineStr">
        <is>
          <t>Materials $</t>
        </is>
      </c>
      <c r="F8" s="9" t="inlineStr">
        <is>
          <t>Subs / 1099 $</t>
        </is>
      </c>
      <c r="G8" s="9" t="inlineStr">
        <is>
          <t>Other $</t>
        </is>
      </c>
      <c r="H8" s="9" t="inlineStr">
        <is>
          <t>Revenue</t>
        </is>
      </c>
      <c r="I8" s="9" t="inlineStr">
        <is>
          <t>Total Cost</t>
        </is>
      </c>
      <c r="J8" s="9" t="inlineStr">
        <is>
          <t>Profit</t>
        </is>
      </c>
      <c r="K8" s="9" t="inlineStr">
        <is>
          <t>Margin</t>
        </is>
      </c>
      <c r="L8" s="9" t="inlineStr">
        <is>
          <t>Status</t>
        </is>
      </c>
    </row>
    <row r="9">
      <c r="A9" s="10" t="inlineStr">
        <is>
          <t>Miller Kitchen Remodel</t>
        </is>
      </c>
      <c r="B9" s="11" t="n">
        <v>42000</v>
      </c>
      <c r="C9" s="11" t="n">
        <v>3500</v>
      </c>
      <c r="D9" s="11" t="n">
        <v>18000</v>
      </c>
      <c r="E9" s="11" t="n">
        <v>12500</v>
      </c>
      <c r="F9" s="11" t="n">
        <v>6000</v>
      </c>
      <c r="G9" s="11" t="n">
        <v>1200</v>
      </c>
      <c r="H9" s="12">
        <f>IF($A9="","",$B9+$C9)</f>
        <v/>
      </c>
      <c r="I9" s="12">
        <f>IF($A9="","",$D9+$E9+$F9+$G9)</f>
        <v/>
      </c>
      <c r="J9" s="13">
        <f>IF($A9="","",H9-I9)</f>
        <v/>
      </c>
      <c r="K9" s="14">
        <f>IF(OR($A9="",H9=0),"",J9/H9)</f>
        <v/>
      </c>
      <c r="L9" s="15">
        <f>IF($A9="","",IF(K9&lt;0,"Losing money",IF(K9&lt;0.2,"Thin - check it","Healthy")))</f>
        <v/>
      </c>
    </row>
    <row r="10">
      <c r="A10" s="10" t="inlineStr">
        <is>
          <t>Oakwood Deck Build</t>
        </is>
      </c>
      <c r="B10" s="11" t="n">
        <v>18500</v>
      </c>
      <c r="C10" s="11" t="n">
        <v>0</v>
      </c>
      <c r="D10" s="11" t="n">
        <v>5200</v>
      </c>
      <c r="E10" s="11" t="n">
        <v>6800</v>
      </c>
      <c r="F10" s="11" t="n">
        <v>0</v>
      </c>
      <c r="G10" s="11" t="n">
        <v>400</v>
      </c>
      <c r="H10" s="12">
        <f>IF($A10="","",$B10+$C10)</f>
        <v/>
      </c>
      <c r="I10" s="12">
        <f>IF($A10="","",$D10+$E10+$F10+$G10)</f>
        <v/>
      </c>
      <c r="J10" s="13">
        <f>IF($A10="","",H10-I10)</f>
        <v/>
      </c>
      <c r="K10" s="14">
        <f>IF(OR($A10="",H10=0),"",J10/H10)</f>
        <v/>
      </c>
      <c r="L10" s="15">
        <f>IF($A10="","",IF(K10&lt;0,"Losing money",IF(K10&lt;0.2,"Thin - check it","Healthy")))</f>
        <v/>
      </c>
    </row>
    <row r="11">
      <c r="A11" s="10" t="inlineStr">
        <is>
          <t>Riverside Bath (RUSH job)</t>
        </is>
      </c>
      <c r="B11" s="11" t="n">
        <v>15000</v>
      </c>
      <c r="C11" s="11" t="n">
        <v>1200</v>
      </c>
      <c r="D11" s="11" t="n">
        <v>9500</v>
      </c>
      <c r="E11" s="11" t="n">
        <v>5200</v>
      </c>
      <c r="F11" s="11" t="n">
        <v>2800</v>
      </c>
      <c r="G11" s="11" t="n">
        <v>300</v>
      </c>
      <c r="H11" s="12">
        <f>IF($A11="","",$B11+$C11)</f>
        <v/>
      </c>
      <c r="I11" s="12">
        <f>IF($A11="","",$D11+$E11+$F11+$G11)</f>
        <v/>
      </c>
      <c r="J11" s="13">
        <f>IF($A11="","",H11-I11)</f>
        <v/>
      </c>
      <c r="K11" s="14">
        <f>IF(OR($A11="",H11=0),"",J11/H11)</f>
        <v/>
      </c>
      <c r="L11" s="15">
        <f>IF($A11="","",IF(K11&lt;0,"Losing money",IF(K11&lt;0.2,"Thin - check it","Healthy")))</f>
        <v/>
      </c>
    </row>
    <row r="12">
      <c r="A12" s="16" t="n"/>
      <c r="B12" s="17" t="n"/>
      <c r="C12" s="17" t="n"/>
      <c r="D12" s="17" t="n"/>
      <c r="E12" s="17" t="n"/>
      <c r="F12" s="17" t="n"/>
      <c r="G12" s="17" t="n"/>
      <c r="H12" s="12">
        <f>IF($A12="","",$B12+$C12)</f>
        <v/>
      </c>
      <c r="I12" s="12">
        <f>IF($A12="","",$D12+$E12+$F12+$G12)</f>
        <v/>
      </c>
      <c r="J12" s="13">
        <f>IF($A12="","",H12-I12)</f>
        <v/>
      </c>
      <c r="K12" s="14">
        <f>IF(OR($A12="",H12=0),"",J12/H12)</f>
        <v/>
      </c>
      <c r="L12" s="15">
        <f>IF($A12="","",IF(K12&lt;0,"Losing money",IF(K12&lt;0.2,"Thin - check it","Healthy")))</f>
        <v/>
      </c>
    </row>
    <row r="13">
      <c r="A13" s="16" t="n"/>
      <c r="B13" s="17" t="n"/>
      <c r="C13" s="17" t="n"/>
      <c r="D13" s="17" t="n"/>
      <c r="E13" s="17" t="n"/>
      <c r="F13" s="17" t="n"/>
      <c r="G13" s="17" t="n"/>
      <c r="H13" s="12">
        <f>IF($A13="","",$B13+$C13)</f>
        <v/>
      </c>
      <c r="I13" s="12">
        <f>IF($A13="","",$D13+$E13+$F13+$G13)</f>
        <v/>
      </c>
      <c r="J13" s="13">
        <f>IF($A13="","",H13-I13)</f>
        <v/>
      </c>
      <c r="K13" s="14">
        <f>IF(OR($A13="",H13=0),"",J13/H13)</f>
        <v/>
      </c>
      <c r="L13" s="15">
        <f>IF($A13="","",IF(K13&lt;0,"Losing money",IF(K13&lt;0.2,"Thin - check it","Healthy")))</f>
        <v/>
      </c>
    </row>
    <row r="14">
      <c r="A14" s="16" t="n"/>
      <c r="B14" s="17" t="n"/>
      <c r="C14" s="17" t="n"/>
      <c r="D14" s="17" t="n"/>
      <c r="E14" s="17" t="n"/>
      <c r="F14" s="17" t="n"/>
      <c r="G14" s="17" t="n"/>
      <c r="H14" s="12">
        <f>IF($A14="","",$B14+$C14)</f>
        <v/>
      </c>
      <c r="I14" s="12">
        <f>IF($A14="","",$D14+$E14+$F14+$G14)</f>
        <v/>
      </c>
      <c r="J14" s="13">
        <f>IF($A14="","",H14-I14)</f>
        <v/>
      </c>
      <c r="K14" s="14">
        <f>IF(OR($A14="",H14=0),"",J14/H14)</f>
        <v/>
      </c>
      <c r="L14" s="15">
        <f>IF($A14="","",IF(K14&lt;0,"Losing money",IF(K14&lt;0.2,"Thin - check it","Healthy")))</f>
        <v/>
      </c>
    </row>
    <row r="15">
      <c r="A15" s="16" t="n"/>
      <c r="B15" s="17" t="n"/>
      <c r="C15" s="17" t="n"/>
      <c r="D15" s="17" t="n"/>
      <c r="E15" s="17" t="n"/>
      <c r="F15" s="17" t="n"/>
      <c r="G15" s="17" t="n"/>
      <c r="H15" s="12">
        <f>IF($A15="","",$B15+$C15)</f>
        <v/>
      </c>
      <c r="I15" s="12">
        <f>IF($A15="","",$D15+$E15+$F15+$G15)</f>
        <v/>
      </c>
      <c r="J15" s="13">
        <f>IF($A15="","",H15-I15)</f>
        <v/>
      </c>
      <c r="K15" s="14">
        <f>IF(OR($A15="",H15=0),"",J15/H15)</f>
        <v/>
      </c>
      <c r="L15" s="15">
        <f>IF($A15="","",IF(K15&lt;0,"Losing money",IF(K15&lt;0.2,"Thin - check it","Healthy")))</f>
        <v/>
      </c>
    </row>
    <row r="16">
      <c r="A16" s="16" t="n"/>
      <c r="B16" s="17" t="n"/>
      <c r="C16" s="17" t="n"/>
      <c r="D16" s="17" t="n"/>
      <c r="E16" s="17" t="n"/>
      <c r="F16" s="17" t="n"/>
      <c r="G16" s="17" t="n"/>
      <c r="H16" s="12">
        <f>IF($A16="","",$B16+$C16)</f>
        <v/>
      </c>
      <c r="I16" s="12">
        <f>IF($A16="","",$D16+$E16+$F16+$G16)</f>
        <v/>
      </c>
      <c r="J16" s="13">
        <f>IF($A16="","",H16-I16)</f>
        <v/>
      </c>
      <c r="K16" s="14">
        <f>IF(OR($A16="",H16=0),"",J16/H16)</f>
        <v/>
      </c>
      <c r="L16" s="15">
        <f>IF($A16="","",IF(K16&lt;0,"Losing money",IF(K16&lt;0.2,"Thin - check it","Healthy")))</f>
        <v/>
      </c>
    </row>
    <row r="17">
      <c r="A17" s="16" t="n"/>
      <c r="B17" s="17" t="n"/>
      <c r="C17" s="17" t="n"/>
      <c r="D17" s="17" t="n"/>
      <c r="E17" s="17" t="n"/>
      <c r="F17" s="17" t="n"/>
      <c r="G17" s="17" t="n"/>
      <c r="H17" s="12">
        <f>IF($A17="","",$B17+$C17)</f>
        <v/>
      </c>
      <c r="I17" s="12">
        <f>IF($A17="","",$D17+$E17+$F17+$G17)</f>
        <v/>
      </c>
      <c r="J17" s="13">
        <f>IF($A17="","",H17-I17)</f>
        <v/>
      </c>
      <c r="K17" s="14">
        <f>IF(OR($A17="",H17=0),"",J17/H17)</f>
        <v/>
      </c>
      <c r="L17" s="15">
        <f>IF($A17="","",IF(K17&lt;0,"Losing money",IF(K17&lt;0.2,"Thin - check it","Healthy")))</f>
        <v/>
      </c>
    </row>
    <row r="18">
      <c r="A18" s="16" t="n"/>
      <c r="B18" s="17" t="n"/>
      <c r="C18" s="17" t="n"/>
      <c r="D18" s="17" t="n"/>
      <c r="E18" s="17" t="n"/>
      <c r="F18" s="17" t="n"/>
      <c r="G18" s="17" t="n"/>
      <c r="H18" s="12">
        <f>IF($A18="","",$B18+$C18)</f>
        <v/>
      </c>
      <c r="I18" s="12">
        <f>IF($A18="","",$D18+$E18+$F18+$G18)</f>
        <v/>
      </c>
      <c r="J18" s="13">
        <f>IF($A18="","",H18-I18)</f>
        <v/>
      </c>
      <c r="K18" s="14">
        <f>IF(OR($A18="",H18=0),"",J18/H18)</f>
        <v/>
      </c>
      <c r="L18" s="15">
        <f>IF($A18="","",IF(K18&lt;0,"Losing money",IF(K18&lt;0.2,"Thin - check it","Healthy")))</f>
        <v/>
      </c>
    </row>
    <row r="19">
      <c r="A19" s="16" t="n"/>
      <c r="B19" s="17" t="n"/>
      <c r="C19" s="17" t="n"/>
      <c r="D19" s="17" t="n"/>
      <c r="E19" s="17" t="n"/>
      <c r="F19" s="17" t="n"/>
      <c r="G19" s="17" t="n"/>
      <c r="H19" s="12">
        <f>IF($A19="","",$B19+$C19)</f>
        <v/>
      </c>
      <c r="I19" s="12">
        <f>IF($A19="","",$D19+$E19+$F19+$G19)</f>
        <v/>
      </c>
      <c r="J19" s="13">
        <f>IF($A19="","",H19-I19)</f>
        <v/>
      </c>
      <c r="K19" s="14">
        <f>IF(OR($A19="",H19=0),"",J19/H19)</f>
        <v/>
      </c>
      <c r="L19" s="15">
        <f>IF($A19="","",IF(K19&lt;0,"Losing money",IF(K19&lt;0.2,"Thin - check it","Healthy")))</f>
        <v/>
      </c>
    </row>
    <row r="20">
      <c r="A20" s="16" t="n"/>
      <c r="B20" s="17" t="n"/>
      <c r="C20" s="17" t="n"/>
      <c r="D20" s="17" t="n"/>
      <c r="E20" s="17" t="n"/>
      <c r="F20" s="17" t="n"/>
      <c r="G20" s="17" t="n"/>
      <c r="H20" s="12">
        <f>IF($A20="","",$B20+$C20)</f>
        <v/>
      </c>
      <c r="I20" s="12">
        <f>IF($A20="","",$D20+$E20+$F20+$G20)</f>
        <v/>
      </c>
      <c r="J20" s="13">
        <f>IF($A20="","",H20-I20)</f>
        <v/>
      </c>
      <c r="K20" s="14">
        <f>IF(OR($A20="",H20=0),"",J20/H20)</f>
        <v/>
      </c>
      <c r="L20" s="15">
        <f>IF($A20="","",IF(K20&lt;0,"Losing money",IF(K20&lt;0.2,"Thin - check it","Healthy")))</f>
        <v/>
      </c>
    </row>
    <row r="21">
      <c r="A21" s="16" t="n"/>
      <c r="B21" s="17" t="n"/>
      <c r="C21" s="17" t="n"/>
      <c r="D21" s="17" t="n"/>
      <c r="E21" s="17" t="n"/>
      <c r="F21" s="17" t="n"/>
      <c r="G21" s="17" t="n"/>
      <c r="H21" s="12">
        <f>IF($A21="","",$B21+$C21)</f>
        <v/>
      </c>
      <c r="I21" s="12">
        <f>IF($A21="","",$D21+$E21+$F21+$G21)</f>
        <v/>
      </c>
      <c r="J21" s="13">
        <f>IF($A21="","",H21-I21)</f>
        <v/>
      </c>
      <c r="K21" s="14">
        <f>IF(OR($A21="",H21=0),"",J21/H21)</f>
        <v/>
      </c>
      <c r="L21" s="15">
        <f>IF($A21="","",IF(K21&lt;0,"Losing money",IF(K21&lt;0.2,"Thin - check it","Healthy")))</f>
        <v/>
      </c>
    </row>
    <row r="22">
      <c r="A22" s="16" t="n"/>
      <c r="B22" s="17" t="n"/>
      <c r="C22" s="17" t="n"/>
      <c r="D22" s="17" t="n"/>
      <c r="E22" s="17" t="n"/>
      <c r="F22" s="17" t="n"/>
      <c r="G22" s="17" t="n"/>
      <c r="H22" s="12">
        <f>IF($A22="","",$B22+$C22)</f>
        <v/>
      </c>
      <c r="I22" s="12">
        <f>IF($A22="","",$D22+$E22+$F22+$G22)</f>
        <v/>
      </c>
      <c r="J22" s="13">
        <f>IF($A22="","",H22-I22)</f>
        <v/>
      </c>
      <c r="K22" s="14">
        <f>IF(OR($A22="",H22=0),"",J22/H22)</f>
        <v/>
      </c>
      <c r="L22" s="15">
        <f>IF($A22="","",IF(K22&lt;0,"Losing money",IF(K22&lt;0.2,"Thin - check it","Healthy")))</f>
        <v/>
      </c>
    </row>
    <row r="23">
      <c r="A23" s="16" t="n"/>
      <c r="B23" s="17" t="n"/>
      <c r="C23" s="17" t="n"/>
      <c r="D23" s="17" t="n"/>
      <c r="E23" s="17" t="n"/>
      <c r="F23" s="17" t="n"/>
      <c r="G23" s="17" t="n"/>
      <c r="H23" s="12">
        <f>IF($A23="","",$B23+$C23)</f>
        <v/>
      </c>
      <c r="I23" s="12">
        <f>IF($A23="","",$D23+$E23+$F23+$G23)</f>
        <v/>
      </c>
      <c r="J23" s="13">
        <f>IF($A23="","",H23-I23)</f>
        <v/>
      </c>
      <c r="K23" s="14">
        <f>IF(OR($A23="",H23=0),"",J23/H23)</f>
        <v/>
      </c>
      <c r="L23" s="15">
        <f>IF($A23="","",IF(K23&lt;0,"Losing money",IF(K23&lt;0.2,"Thin - check it","Healthy")))</f>
        <v/>
      </c>
    </row>
    <row r="24">
      <c r="A24" s="16" t="n"/>
      <c r="B24" s="17" t="n"/>
      <c r="C24" s="17" t="n"/>
      <c r="D24" s="17" t="n"/>
      <c r="E24" s="17" t="n"/>
      <c r="F24" s="17" t="n"/>
      <c r="G24" s="17" t="n"/>
      <c r="H24" s="12">
        <f>IF($A24="","",$B24+$C24)</f>
        <v/>
      </c>
      <c r="I24" s="12">
        <f>IF($A24="","",$D24+$E24+$F24+$G24)</f>
        <v/>
      </c>
      <c r="J24" s="13">
        <f>IF($A24="","",H24-I24)</f>
        <v/>
      </c>
      <c r="K24" s="14">
        <f>IF(OR($A24="",H24=0),"",J24/H24)</f>
        <v/>
      </c>
      <c r="L24" s="15">
        <f>IF($A24="","",IF(K24&lt;0,"Losing money",IF(K24&lt;0.2,"Thin - check it","Healthy")))</f>
        <v/>
      </c>
    </row>
    <row r="25">
      <c r="A25" s="16" t="n"/>
      <c r="B25" s="17" t="n"/>
      <c r="C25" s="17" t="n"/>
      <c r="D25" s="17" t="n"/>
      <c r="E25" s="17" t="n"/>
      <c r="F25" s="17" t="n"/>
      <c r="G25" s="17" t="n"/>
      <c r="H25" s="12">
        <f>IF($A25="","",$B25+$C25)</f>
        <v/>
      </c>
      <c r="I25" s="12">
        <f>IF($A25="","",$D25+$E25+$F25+$G25)</f>
        <v/>
      </c>
      <c r="J25" s="13">
        <f>IF($A25="","",H25-I25)</f>
        <v/>
      </c>
      <c r="K25" s="14">
        <f>IF(OR($A25="",H25=0),"",J25/H25)</f>
        <v/>
      </c>
      <c r="L25" s="15">
        <f>IF($A25="","",IF(K25&lt;0,"Losing money",IF(K25&lt;0.2,"Thin - check it","Healthy")))</f>
        <v/>
      </c>
    </row>
    <row r="26">
      <c r="A26" s="16" t="n"/>
      <c r="B26" s="17" t="n"/>
      <c r="C26" s="17" t="n"/>
      <c r="D26" s="17" t="n"/>
      <c r="E26" s="17" t="n"/>
      <c r="F26" s="17" t="n"/>
      <c r="G26" s="17" t="n"/>
      <c r="H26" s="12">
        <f>IF($A26="","",$B26+$C26)</f>
        <v/>
      </c>
      <c r="I26" s="12">
        <f>IF($A26="","",$D26+$E26+$F26+$G26)</f>
        <v/>
      </c>
      <c r="J26" s="13">
        <f>IF($A26="","",H26-I26)</f>
        <v/>
      </c>
      <c r="K26" s="14">
        <f>IF(OR($A26="",H26=0),"",J26/H26)</f>
        <v/>
      </c>
      <c r="L26" s="15">
        <f>IF($A26="","",IF(K26&lt;0,"Losing money",IF(K26&lt;0.2,"Thin - check it","Healthy")))</f>
        <v/>
      </c>
    </row>
    <row r="27">
      <c r="A27" s="16" t="n"/>
      <c r="B27" s="17" t="n"/>
      <c r="C27" s="17" t="n"/>
      <c r="D27" s="17" t="n"/>
      <c r="E27" s="17" t="n"/>
      <c r="F27" s="17" t="n"/>
      <c r="G27" s="17" t="n"/>
      <c r="H27" s="12">
        <f>IF($A27="","",$B27+$C27)</f>
        <v/>
      </c>
      <c r="I27" s="12">
        <f>IF($A27="","",$D27+$E27+$F27+$G27)</f>
        <v/>
      </c>
      <c r="J27" s="13">
        <f>IF($A27="","",H27-I27)</f>
        <v/>
      </c>
      <c r="K27" s="14">
        <f>IF(OR($A27="",H27=0),"",J27/H27)</f>
        <v/>
      </c>
      <c r="L27" s="15">
        <f>IF($A27="","",IF(K27&lt;0,"Losing money",IF(K27&lt;0.2,"Thin - check it","Healthy")))</f>
        <v/>
      </c>
    </row>
    <row r="28">
      <c r="A28" s="16" t="n"/>
      <c r="B28" s="17" t="n"/>
      <c r="C28" s="17" t="n"/>
      <c r="D28" s="17" t="n"/>
      <c r="E28" s="17" t="n"/>
      <c r="F28" s="17" t="n"/>
      <c r="G28" s="17" t="n"/>
      <c r="H28" s="12">
        <f>IF($A28="","",$B28+$C28)</f>
        <v/>
      </c>
      <c r="I28" s="12">
        <f>IF($A28="","",$D28+$E28+$F28+$G28)</f>
        <v/>
      </c>
      <c r="J28" s="13">
        <f>IF($A28="","",H28-I28)</f>
        <v/>
      </c>
      <c r="K28" s="14">
        <f>IF(OR($A28="",H28=0),"",J28/H28)</f>
        <v/>
      </c>
      <c r="L28" s="15">
        <f>IF($A28="","",IF(K28&lt;0,"Losing money",IF(K28&lt;0.2,"Thin - check it","Healthy")))</f>
        <v/>
      </c>
    </row>
    <row r="29">
      <c r="A29" s="16" t="n"/>
      <c r="B29" s="17" t="n"/>
      <c r="C29" s="17" t="n"/>
      <c r="D29" s="17" t="n"/>
      <c r="E29" s="17" t="n"/>
      <c r="F29" s="17" t="n"/>
      <c r="G29" s="17" t="n"/>
      <c r="H29" s="12">
        <f>IF($A29="","",$B29+$C29)</f>
        <v/>
      </c>
      <c r="I29" s="12">
        <f>IF($A29="","",$D29+$E29+$F29+$G29)</f>
        <v/>
      </c>
      <c r="J29" s="13">
        <f>IF($A29="","",H29-I29)</f>
        <v/>
      </c>
      <c r="K29" s="14">
        <f>IF(OR($A29="",H29=0),"",J29/H29)</f>
        <v/>
      </c>
      <c r="L29" s="15">
        <f>IF($A29="","",IF(K29&lt;0,"Losing money",IF(K29&lt;0.2,"Thin - check it","Healthy")))</f>
        <v/>
      </c>
    </row>
    <row r="30">
      <c r="A30" s="16" t="n"/>
      <c r="B30" s="17" t="n"/>
      <c r="C30" s="17" t="n"/>
      <c r="D30" s="17" t="n"/>
      <c r="E30" s="17" t="n"/>
      <c r="F30" s="17" t="n"/>
      <c r="G30" s="17" t="n"/>
      <c r="H30" s="12">
        <f>IF($A30="","",$B30+$C30)</f>
        <v/>
      </c>
      <c r="I30" s="12">
        <f>IF($A30="","",$D30+$E30+$F30+$G30)</f>
        <v/>
      </c>
      <c r="J30" s="13">
        <f>IF($A30="","",H30-I30)</f>
        <v/>
      </c>
      <c r="K30" s="14">
        <f>IF(OR($A30="",H30=0),"",J30/H30)</f>
        <v/>
      </c>
      <c r="L30" s="15">
        <f>IF($A30="","",IF(K30&lt;0,"Losing money",IF(K30&lt;0.2,"Thin - check it","Healthy")))</f>
        <v/>
      </c>
    </row>
    <row r="31">
      <c r="A31" s="18" t="inlineStr">
        <is>
          <t>TOTALS</t>
        </is>
      </c>
      <c r="B31" s="19">
        <f>SUM(B9:B30)</f>
        <v/>
      </c>
      <c r="C31" s="19">
        <f>SUM(C9:C30)</f>
        <v/>
      </c>
      <c r="D31" s="19">
        <f>SUM(D9:D30)</f>
        <v/>
      </c>
      <c r="E31" s="19">
        <f>SUM(E9:E30)</f>
        <v/>
      </c>
      <c r="F31" s="19">
        <f>SUM(F9:F30)</f>
        <v/>
      </c>
      <c r="G31" s="19">
        <f>SUM(G9:G30)</f>
        <v/>
      </c>
      <c r="H31" s="19">
        <f>SUM(H9:H30)</f>
        <v/>
      </c>
      <c r="I31" s="19">
        <f>SUM(I9:I30)</f>
        <v/>
      </c>
      <c r="J31" s="19">
        <f>SUM(J9:J30)</f>
        <v/>
      </c>
      <c r="K31" s="20">
        <f>IF(H31=0,"",J31/H31)</f>
        <v/>
      </c>
      <c r="L31" s="21" t="inlineStr"/>
    </row>
    <row r="33" ht="26" customHeight="1">
      <c r="A33" s="22" t="inlineStr">
        <is>
          <t>Built by TallyWise. Want us to plug in your real numbers and find the leaks on a free 15-min CFO call?   tallywise.com  ·  855-68-TALLY</t>
        </is>
      </c>
    </row>
  </sheetData>
  <mergeCells count="10">
    <mergeCell ref="A2:L2"/>
    <mergeCell ref="E6:F6"/>
    <mergeCell ref="C6:D6"/>
    <mergeCell ref="A33:L33"/>
    <mergeCell ref="A1:L1"/>
    <mergeCell ref="C5:D5"/>
    <mergeCell ref="A5:B5"/>
    <mergeCell ref="E5:F5"/>
    <mergeCell ref="A3:L3"/>
    <mergeCell ref="A6:B6"/>
  </mergeCells>
  <conditionalFormatting sqref="K9:K30">
    <cfRule type="colorScale" priority="1">
      <colorScale>
        <cfvo type="num" val="-0.1"/>
        <cfvo type="num" val="0.1"/>
        <cfvo type="num" val="0.3"/>
        <color rgb="00F8696B"/>
        <color rgb="00FFEB84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2026-08-19T15:54:44Z</dcterms:created>
  <dcterms:modified xsi:type="dcterms:W3CDTF">2026-08-19T15:54:44Z</dcterms:modified>
</cp:coreProperties>
</file>